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hien/Desktop/"/>
    </mc:Choice>
  </mc:AlternateContent>
  <xr:revisionPtr revIDLastSave="0" documentId="8_{9F3A0EB8-4D54-644F-BA38-5982F527D491}" xr6:coauthVersionLast="47" xr6:coauthVersionMax="47" xr10:uidLastSave="{00000000-0000-0000-0000-000000000000}"/>
  <bookViews>
    <workbookView xWindow="19220" yWindow="8480" windowWidth="25640" windowHeight="14180" activeTab="1" xr2:uid="{6D468A90-A589-F84A-8787-DBF9D7AEFD8D}"/>
  </bookViews>
  <sheets>
    <sheet name="Đơn ĐH " sheetId="1" r:id="rId1"/>
    <sheet name="BBGN" sheetId="2" r:id="rId2"/>
  </sheets>
  <externalReferences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8" i="2" l="1"/>
  <c r="A42" i="1"/>
  <c r="A40" i="1" a="1"/>
  <c r="A40" i="1" s="1"/>
  <c r="A22" i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F21" i="1"/>
  <c r="F37" i="1" s="1"/>
  <c r="F38" i="1" s="1"/>
  <c r="A8" i="1"/>
  <c r="F3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<sst xmlns="http://schemas.openxmlformats.org/spreadsheetml/2006/main" count="61" uniqueCount="46">
  <si>
    <t>CỘNG HÒA XÃ HỘI CHỦ NGHĨA VIỆT NAM</t>
  </si>
  <si>
    <t>Độc Lập - Tự Do - Hạnh Phúc</t>
  </si>
  <si>
    <t>------------------------------------</t>
  </si>
  <si>
    <t>ĐƠN ĐẶT HÀNG</t>
  </si>
  <si>
    <t>Số: 15864/DDH/TLO</t>
  </si>
  <si>
    <r>
      <t xml:space="preserve">Kính gửi: </t>
    </r>
    <r>
      <rPr>
        <b/>
        <sz val="12"/>
        <color theme="1"/>
        <rFont val="Times New Roman"/>
        <family val="1"/>
      </rPr>
      <t>CÔNG TY TNHH XUẤT NHẬP KHẨU VÀ THƯƠNG MẠI QUỐC TẾ TLO</t>
    </r>
  </si>
  <si>
    <t>Địa chỉ: Tầng 6, tòa KICOTRANS 46 Bạch Đằng, Phường Tân Sơn Hòa, TP Hồ Chí Minh, Việt Nam</t>
  </si>
  <si>
    <t>Mã số thuế: 0317344602</t>
  </si>
  <si>
    <t>BÊN ĐẶT HÀNG:  CÔNG TY TNHH CÔNG NGHỆ MOON BIN</t>
  </si>
  <si>
    <t>Đại diện: Ông LÊ VĂN KỲ</t>
  </si>
  <si>
    <t>Chức vụ:</t>
  </si>
  <si>
    <t>Giám đốc</t>
  </si>
  <si>
    <t>Địa chỉ: 90/22/12 Nguyễn Phúc Chu, Phường Tân Sơn, TP Hồ Chí Minh, Việt Nam</t>
  </si>
  <si>
    <t xml:space="preserve">Điện thoại: 0979314102  </t>
  </si>
  <si>
    <t xml:space="preserve">Mã số thuế: 0318785487 </t>
  </si>
  <si>
    <t>Kính đề nghị Quý Đơn vị cung cấp cho chúng tôi các hàng hoá với số lượng và giá trị như sau:</t>
  </si>
  <si>
    <t>1. Loại Sản phẩm, hàng hoá, số lượng và giá trị:</t>
  </si>
  <si>
    <t>STT</t>
  </si>
  <si>
    <t>Tên sản phẩm, hàng hóa</t>
  </si>
  <si>
    <t>ĐVT</t>
  </si>
  <si>
    <t>Số lượng</t>
  </si>
  <si>
    <t>Đơn giá</t>
  </si>
  <si>
    <t>Thành tiền</t>
  </si>
  <si>
    <t>Tai nghe không dây bluetooth, loại nhét tai (không có khung chụp qua đầu), 2cái/bộ, tần số: 20Hz-20kHz, kèm hộp sạc, model: Air7, không hiệu, NSX: Dongguan Enjoy Beauty Technology Co., Ltd. Mới 100%</t>
  </si>
  <si>
    <t>Bộ</t>
  </si>
  <si>
    <t>TIỀN HÀNG</t>
  </si>
  <si>
    <t>THUẾ VAT (8%)</t>
  </si>
  <si>
    <t>TỔNG TIỀN</t>
  </si>
  <si>
    <r>
      <t xml:space="preserve">3. Thời gian giao hàng: </t>
    </r>
    <r>
      <rPr>
        <sz val="12"/>
        <color rgb="FFFF0000"/>
        <rFont val="Times New Roman"/>
        <family val="1"/>
      </rPr>
      <t>ngày 26/1/2026</t>
    </r>
  </si>
  <si>
    <t xml:space="preserve">4. Hình thức và thời gian thanh toán: </t>
  </si>
  <si>
    <t>- Bên B thanh toán cho Bên A bằng tiền mặt hoặc chuyển khoản.</t>
  </si>
  <si>
    <t>Bên đặt hàng</t>
  </si>
  <si>
    <t>Xác nhận đơn hàng</t>
  </si>
  <si>
    <t>BIÊN BẢN GIAO NHẬN HÀNG HÓA</t>
  </si>
  <si>
    <t>BÊN BÁN (BÊN A): CÔNG TY TNHH XUẤT NHẬP KHẨU VÀ THƯƠNG MẠI QUỐC TẾ TLO</t>
  </si>
  <si>
    <t xml:space="preserve">Đại diện: Bà Nghiêm Thị Tuyết            </t>
  </si>
  <si>
    <t xml:space="preserve">Chức vụ: </t>
  </si>
  <si>
    <t>Giám Đốc</t>
  </si>
  <si>
    <t>BÊN MUA (BÊN B): CÔNG TY TNHH CÔNG NGHỆ MOON BIN</t>
  </si>
  <si>
    <t>Mã số thuế: 0318785487</t>
  </si>
  <si>
    <t>Chúng tôi cùng tiến hành bàn giao nhận hàng hóa với số lượng như sau:</t>
  </si>
  <si>
    <t>Ghi chú</t>
  </si>
  <si>
    <t>Toàn bộ số hàng hóa trên mới 100%, còn nguyên đai nguyên kiện, đúng chủng loại, mẫu mã, quy cách đóng gói, thông số kỹ thuật như trong đơn đặt hàng số 15864/DDH/TLO ngày 5/1/2026.</t>
  </si>
  <si>
    <t>Biên bản này được lập thành 02 bản, mỗi bên giữ 01 bản có giá trị pháp lý như nhau.</t>
  </si>
  <si>
    <t>BÊN BÁN</t>
  </si>
  <si>
    <t>BÊN MUA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</si>
</sst>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i/>
      <sz val="12"/>
      <color theme="1"/>
      <name val="Times New Roman"/>
      <family val="1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b/>
      <i/>
      <sz val="12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164" fontId="6" fillId="0" borderId="2" xfId="1" applyNumberFormat="1" applyFont="1" applyBorder="1" applyAlignment="1">
      <alignment vertical="center"/>
    </xf>
    <xf numFmtId="164" fontId="6" fillId="0" borderId="3" xfId="1" applyNumberFormat="1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/>
    </xf>
    <xf numFmtId="0" fontId="6" fillId="0" borderId="4" xfId="0" applyFont="1" applyBorder="1"/>
    <xf numFmtId="165" fontId="6" fillId="0" borderId="4" xfId="1" applyNumberFormat="1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1" applyNumberFormat="1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6" fillId="0" borderId="0" xfId="0" applyFont="1" applyAlignment="1">
      <alignment vertical="center"/>
    </xf>
    <xf numFmtId="0" fontId="2" fillId="0" borderId="0" xfId="0" applyFont="1"/>
    <xf numFmtId="0" fontId="9" fillId="0" borderId="0" xfId="0" applyFont="1" applyAlignment="1">
      <alignment horizontal="center" vertical="center" wrapText="1"/>
    </xf>
    <xf numFmtId="14" fontId="10" fillId="0" borderId="0" xfId="0" applyNumberFormat="1" applyFont="1"/>
    <xf numFmtId="0" fontId="4" fillId="0" borderId="0" xfId="0" applyFont="1"/>
    <xf numFmtId="0" fontId="2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1" fillId="0" borderId="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8" xfId="0" applyFont="1" applyBorder="1" applyAlignment="1">
      <alignment wrapText="1"/>
    </xf>
    <xf numFmtId="165" fontId="6" fillId="0" borderId="8" xfId="1" applyNumberFormat="1" applyFont="1" applyBorder="1"/>
    <xf numFmtId="0" fontId="6" fillId="0" borderId="8" xfId="0" applyFont="1" applyBorder="1"/>
    <xf numFmtId="0" fontId="6" fillId="0" borderId="9" xfId="0" applyFont="1" applyBorder="1" applyAlignment="1">
      <alignment horizontal="left" wrapText="1"/>
    </xf>
    <xf numFmtId="0" fontId="6" fillId="0" borderId="0" xfId="0" quotePrefix="1" applyFont="1"/>
    <xf numFmtId="0" fontId="11" fillId="0" borderId="0" xfId="0" applyFont="1" applyAlignment="1">
      <alignment horizontal="center"/>
    </xf>
    <xf numFmtId="0" fontId="11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gram%20Files%20(x86)/VnToolsExcel/VnTools-Excel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VnTools-Excel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3C2D-E011-8243-B51E-59416BDAC763}">
  <dimension ref="A1:F53"/>
  <sheetViews>
    <sheetView workbookViewId="0">
      <selection activeCell="I15" sqref="I15"/>
    </sheetView>
  </sheetViews>
  <sheetFormatPr baseColWidth="10" defaultRowHeight="16" x14ac:dyDescent="0.2"/>
  <sheetData>
    <row r="1" spans="1:6" x14ac:dyDescent="0.2">
      <c r="A1" s="1" t="s">
        <v>0</v>
      </c>
      <c r="B1" s="1"/>
      <c r="C1" s="1"/>
      <c r="D1" s="1"/>
      <c r="E1" s="1"/>
      <c r="F1" s="1"/>
    </row>
    <row r="2" spans="1:6" x14ac:dyDescent="0.2">
      <c r="A2" s="1" t="s">
        <v>1</v>
      </c>
      <c r="B2" s="1"/>
      <c r="C2" s="1"/>
      <c r="D2" s="1"/>
      <c r="E2" s="1"/>
      <c r="F2" s="1"/>
    </row>
    <row r="3" spans="1:6" x14ac:dyDescent="0.2">
      <c r="A3" s="2" t="s">
        <v>2</v>
      </c>
      <c r="B3" s="1"/>
      <c r="C3" s="1"/>
      <c r="D3" s="1"/>
      <c r="E3" s="1"/>
      <c r="F3" s="1"/>
    </row>
    <row r="4" spans="1:6" x14ac:dyDescent="0.2">
      <c r="A4" s="3"/>
      <c r="B4" s="4"/>
      <c r="C4" s="4"/>
      <c r="D4" s="4"/>
      <c r="E4" s="4"/>
      <c r="F4" s="4"/>
    </row>
    <row r="5" spans="1:6" ht="18" x14ac:dyDescent="0.2">
      <c r="A5" s="5" t="s">
        <v>3</v>
      </c>
      <c r="B5" s="5"/>
      <c r="C5" s="5"/>
      <c r="D5" s="5"/>
      <c r="E5" s="5"/>
      <c r="F5" s="5"/>
    </row>
    <row r="6" spans="1:6" x14ac:dyDescent="0.2">
      <c r="A6" s="6" t="s">
        <v>4</v>
      </c>
      <c r="B6" s="6"/>
      <c r="C6" s="6"/>
      <c r="D6" s="6"/>
      <c r="E6" s="6"/>
      <c r="F6" s="6"/>
    </row>
    <row r="7" spans="1:6" x14ac:dyDescent="0.2">
      <c r="A7" s="4"/>
      <c r="B7" s="4"/>
      <c r="C7" s="4"/>
      <c r="D7" s="4"/>
      <c r="E7" s="4"/>
      <c r="F7" s="4"/>
    </row>
    <row r="8" spans="1:6" ht="17" x14ac:dyDescent="0.2">
      <c r="A8" s="7" t="str">
        <f>"Hôm nay, ngày "&amp;DAY(G8)&amp;" tháng "&amp;MONTH(G8)&amp;" năm 2026,"</f>
        <v>Hôm nay, ngày 0 tháng 1 năm 2026,</v>
      </c>
      <c r="B8" s="8"/>
      <c r="C8" s="8"/>
      <c r="D8" s="8"/>
      <c r="E8" s="8"/>
      <c r="F8" s="8"/>
    </row>
    <row r="9" spans="1:6" x14ac:dyDescent="0.2">
      <c r="A9" s="8"/>
      <c r="B9" s="8"/>
      <c r="C9" s="8"/>
      <c r="D9" s="8"/>
      <c r="E9" s="8"/>
      <c r="F9" s="8"/>
    </row>
    <row r="10" spans="1:6" x14ac:dyDescent="0.2">
      <c r="A10" s="9" t="s">
        <v>5</v>
      </c>
      <c r="B10" s="9"/>
      <c r="C10" s="9"/>
      <c r="D10" s="9"/>
      <c r="E10" s="9"/>
      <c r="F10" s="9"/>
    </row>
    <row r="11" spans="1:6" x14ac:dyDescent="0.2">
      <c r="A11" s="9" t="s">
        <v>6</v>
      </c>
      <c r="B11" s="9"/>
      <c r="C11" s="9"/>
      <c r="D11" s="9"/>
      <c r="E11" s="9"/>
      <c r="F11" s="9"/>
    </row>
    <row r="12" spans="1:6" x14ac:dyDescent="0.2">
      <c r="A12" s="9" t="s">
        <v>7</v>
      </c>
      <c r="B12" s="9"/>
      <c r="C12" s="9"/>
      <c r="D12" s="9"/>
      <c r="E12" s="9"/>
      <c r="F12" s="9"/>
    </row>
    <row r="13" spans="1:6" x14ac:dyDescent="0.2">
      <c r="A13" s="10" t="s">
        <v>8</v>
      </c>
      <c r="B13" s="10"/>
      <c r="C13" s="10"/>
      <c r="D13" s="10"/>
      <c r="E13" s="10"/>
      <c r="F13" s="10"/>
    </row>
    <row r="14" spans="1:6" x14ac:dyDescent="0.2">
      <c r="A14" s="11" t="s">
        <v>9</v>
      </c>
      <c r="B14" s="12"/>
      <c r="C14" s="12" t="s">
        <v>10</v>
      </c>
      <c r="D14" s="11" t="s">
        <v>11</v>
      </c>
      <c r="E14" s="12"/>
      <c r="F14" s="12"/>
    </row>
    <row r="15" spans="1:6" x14ac:dyDescent="0.2">
      <c r="A15" s="13" t="s">
        <v>12</v>
      </c>
      <c r="B15" s="14"/>
      <c r="C15" s="14"/>
      <c r="D15" s="14"/>
      <c r="E15" s="14"/>
      <c r="F15" s="14"/>
    </row>
    <row r="16" spans="1:6" x14ac:dyDescent="0.2">
      <c r="A16" s="14" t="s">
        <v>13</v>
      </c>
      <c r="B16" s="14"/>
      <c r="C16" s="14"/>
      <c r="D16" s="14"/>
      <c r="E16" s="14"/>
      <c r="F16" s="14"/>
    </row>
    <row r="17" spans="1:6" x14ac:dyDescent="0.2">
      <c r="A17" s="14" t="s">
        <v>14</v>
      </c>
      <c r="B17" s="14"/>
      <c r="C17" s="14"/>
      <c r="D17" s="14"/>
      <c r="E17" s="14"/>
      <c r="F17" s="14"/>
    </row>
    <row r="18" spans="1:6" x14ac:dyDescent="0.2">
      <c r="A18" s="9" t="s">
        <v>15</v>
      </c>
      <c r="B18" s="9"/>
      <c r="C18" s="9"/>
      <c r="D18" s="9"/>
      <c r="E18" s="9"/>
      <c r="F18" s="9"/>
    </row>
    <row r="19" spans="1:6" x14ac:dyDescent="0.2">
      <c r="A19" s="9" t="s">
        <v>16</v>
      </c>
      <c r="B19" s="9"/>
      <c r="C19" s="9"/>
      <c r="D19" s="9"/>
      <c r="E19" s="9"/>
      <c r="F19" s="9"/>
    </row>
    <row r="20" spans="1:6" x14ac:dyDescent="0.2">
      <c r="A20" s="15" t="s">
        <v>17</v>
      </c>
      <c r="B20" s="15" t="s">
        <v>18</v>
      </c>
      <c r="C20" s="15" t="s">
        <v>19</v>
      </c>
      <c r="D20" s="15" t="s">
        <v>20</v>
      </c>
      <c r="E20" s="15" t="s">
        <v>21</v>
      </c>
      <c r="F20" s="15" t="s">
        <v>22</v>
      </c>
    </row>
    <row r="21" spans="1:6" ht="372" x14ac:dyDescent="0.2">
      <c r="A21" s="16">
        <v>1</v>
      </c>
      <c r="B21" s="17" t="s">
        <v>23</v>
      </c>
      <c r="C21" s="16" t="s">
        <v>24</v>
      </c>
      <c r="D21" s="18">
        <v>50</v>
      </c>
      <c r="E21" s="18">
        <v>82100</v>
      </c>
      <c r="F21" s="19">
        <f>D21*E21</f>
        <v>4105000</v>
      </c>
    </row>
    <row r="22" spans="1:6" x14ac:dyDescent="0.2">
      <c r="A22" s="20">
        <f t="shared" ref="A22:A35" si="0">A21+1</f>
        <v>2</v>
      </c>
      <c r="B22" s="21"/>
      <c r="C22" s="20"/>
      <c r="D22" s="19"/>
      <c r="E22" s="19"/>
      <c r="F22" s="19"/>
    </row>
    <row r="23" spans="1:6" x14ac:dyDescent="0.2">
      <c r="A23" s="20">
        <f t="shared" si="0"/>
        <v>3</v>
      </c>
      <c r="B23" s="21"/>
      <c r="C23" s="20"/>
      <c r="D23" s="19"/>
      <c r="E23" s="19"/>
      <c r="F23" s="19"/>
    </row>
    <row r="24" spans="1:6" x14ac:dyDescent="0.2">
      <c r="A24" s="20">
        <f t="shared" si="0"/>
        <v>4</v>
      </c>
      <c r="B24" s="21"/>
      <c r="C24" s="20"/>
      <c r="D24" s="19"/>
      <c r="E24" s="19"/>
      <c r="F24" s="19"/>
    </row>
    <row r="25" spans="1:6" x14ac:dyDescent="0.2">
      <c r="A25" s="20">
        <f t="shared" si="0"/>
        <v>5</v>
      </c>
      <c r="B25" s="21"/>
      <c r="C25" s="20"/>
      <c r="D25" s="19"/>
      <c r="E25" s="19"/>
      <c r="F25" s="19"/>
    </row>
    <row r="26" spans="1:6" x14ac:dyDescent="0.2">
      <c r="A26" s="20">
        <f t="shared" si="0"/>
        <v>6</v>
      </c>
      <c r="B26" s="21"/>
      <c r="C26" s="20"/>
      <c r="D26" s="19"/>
      <c r="E26" s="19"/>
      <c r="F26" s="19"/>
    </row>
    <row r="27" spans="1:6" x14ac:dyDescent="0.2">
      <c r="A27" s="20">
        <f t="shared" si="0"/>
        <v>7</v>
      </c>
      <c r="B27" s="21"/>
      <c r="C27" s="20"/>
      <c r="D27" s="19"/>
      <c r="E27" s="19"/>
      <c r="F27" s="19"/>
    </row>
    <row r="28" spans="1:6" x14ac:dyDescent="0.2">
      <c r="A28" s="20">
        <f t="shared" si="0"/>
        <v>8</v>
      </c>
      <c r="B28" s="21"/>
      <c r="C28" s="20"/>
      <c r="D28" s="19"/>
      <c r="E28" s="19"/>
      <c r="F28" s="19"/>
    </row>
    <row r="29" spans="1:6" x14ac:dyDescent="0.2">
      <c r="A29" s="20">
        <f t="shared" si="0"/>
        <v>9</v>
      </c>
      <c r="B29" s="21"/>
      <c r="C29" s="20"/>
      <c r="D29" s="19"/>
      <c r="E29" s="19"/>
      <c r="F29" s="19"/>
    </row>
    <row r="30" spans="1:6" x14ac:dyDescent="0.2">
      <c r="A30" s="20">
        <f t="shared" si="0"/>
        <v>10</v>
      </c>
      <c r="B30" s="21"/>
      <c r="C30" s="20"/>
      <c r="D30" s="19"/>
      <c r="E30" s="19"/>
      <c r="F30" s="19"/>
    </row>
    <row r="31" spans="1:6" x14ac:dyDescent="0.2">
      <c r="A31" s="20">
        <f t="shared" si="0"/>
        <v>11</v>
      </c>
      <c r="B31" s="21"/>
      <c r="C31" s="20"/>
      <c r="D31" s="19"/>
      <c r="E31" s="19"/>
      <c r="F31" s="19"/>
    </row>
    <row r="32" spans="1:6" x14ac:dyDescent="0.2">
      <c r="A32" s="20">
        <f t="shared" si="0"/>
        <v>12</v>
      </c>
      <c r="B32" s="21"/>
      <c r="C32" s="20"/>
      <c r="D32" s="19"/>
      <c r="E32" s="19"/>
      <c r="F32" s="19"/>
    </row>
    <row r="33" spans="1:6" x14ac:dyDescent="0.2">
      <c r="A33" s="20">
        <f t="shared" si="0"/>
        <v>13</v>
      </c>
      <c r="B33" s="21"/>
      <c r="C33" s="20"/>
      <c r="D33" s="19"/>
      <c r="E33" s="19"/>
      <c r="F33" s="19"/>
    </row>
    <row r="34" spans="1:6" x14ac:dyDescent="0.2">
      <c r="A34" s="20">
        <f t="shared" si="0"/>
        <v>14</v>
      </c>
      <c r="B34" s="21"/>
      <c r="C34" s="20"/>
      <c r="D34" s="19"/>
      <c r="E34" s="19"/>
      <c r="F34" s="19"/>
    </row>
    <row r="35" spans="1:6" x14ac:dyDescent="0.2">
      <c r="A35" s="20">
        <f t="shared" si="0"/>
        <v>15</v>
      </c>
      <c r="B35" s="21"/>
      <c r="C35" s="20"/>
      <c r="D35" s="19"/>
      <c r="E35" s="19"/>
      <c r="F35" s="19"/>
    </row>
    <row r="36" spans="1:6" x14ac:dyDescent="0.2">
      <c r="A36" s="22"/>
      <c r="B36" s="23"/>
      <c r="C36" s="23"/>
      <c r="D36" s="24"/>
      <c r="E36" s="24"/>
      <c r="F36" s="24"/>
    </row>
    <row r="37" spans="1:6" x14ac:dyDescent="0.2">
      <c r="A37" s="25" t="s">
        <v>25</v>
      </c>
      <c r="B37" s="25"/>
      <c r="C37" s="25"/>
      <c r="D37" s="25"/>
      <c r="E37" s="26"/>
      <c r="F37" s="27">
        <f>SUM(F21:F35)</f>
        <v>4105000</v>
      </c>
    </row>
    <row r="38" spans="1:6" x14ac:dyDescent="0.2">
      <c r="A38" s="28" t="s">
        <v>26</v>
      </c>
      <c r="B38" s="29"/>
      <c r="C38" s="29"/>
      <c r="D38" s="30"/>
      <c r="E38" s="26"/>
      <c r="F38" s="27">
        <f>F37*8%</f>
        <v>328400</v>
      </c>
    </row>
    <row r="39" spans="1:6" x14ac:dyDescent="0.2">
      <c r="A39" s="28" t="s">
        <v>27</v>
      </c>
      <c r="B39" s="29"/>
      <c r="C39" s="29"/>
      <c r="D39" s="30"/>
      <c r="E39" s="26"/>
      <c r="F39" s="27">
        <f>F37+F38</f>
        <v>4433400</v>
      </c>
    </row>
    <row r="40" spans="1:6" x14ac:dyDescent="0.2">
      <c r="A40" s="31" t="e" cm="1">
        <f t="array" aca="1" ref="A40" ca="1">"Bằng chữ: "&amp;[1]!vnd(F39)</f>
        <v>#NAME?</v>
      </c>
      <c r="B40" s="31"/>
      <c r="C40" s="31"/>
      <c r="D40" s="31"/>
      <c r="E40" s="31"/>
      <c r="F40" s="31"/>
    </row>
    <row r="41" spans="1:6" x14ac:dyDescent="0.2">
      <c r="A41" s="8"/>
      <c r="B41" s="8"/>
      <c r="C41" s="8"/>
      <c r="D41" s="8"/>
      <c r="E41" s="8"/>
      <c r="F41" s="8"/>
    </row>
    <row r="42" spans="1:6" x14ac:dyDescent="0.2">
      <c r="A42" s="9" t="str">
        <f>"2. Địa điểm giao hàng: "&amp;A15</f>
        <v>2. Địa điểm giao hàng: Địa chỉ: 90/22/12 Nguyễn Phúc Chu, Phường Tân Sơn, TP Hồ Chí Minh, Việt Nam</v>
      </c>
      <c r="B42" s="9"/>
      <c r="C42" s="9"/>
      <c r="D42" s="9"/>
      <c r="E42" s="9"/>
      <c r="F42" s="9"/>
    </row>
    <row r="43" spans="1:6" x14ac:dyDescent="0.2">
      <c r="A43" s="32" t="s">
        <v>28</v>
      </c>
      <c r="B43" s="8"/>
      <c r="C43" s="8"/>
      <c r="D43" s="8"/>
      <c r="E43" s="8"/>
      <c r="F43" s="8"/>
    </row>
    <row r="44" spans="1:6" x14ac:dyDescent="0.2">
      <c r="A44" s="32" t="s">
        <v>29</v>
      </c>
      <c r="B44" s="8"/>
      <c r="C44" s="8"/>
      <c r="D44" s="8"/>
      <c r="E44" s="8"/>
      <c r="F44" s="8"/>
    </row>
    <row r="45" spans="1:6" x14ac:dyDescent="0.2">
      <c r="A45" s="32" t="s">
        <v>30</v>
      </c>
      <c r="B45" s="8"/>
      <c r="C45" s="8"/>
      <c r="D45" s="8"/>
      <c r="E45" s="8"/>
      <c r="F45" s="8"/>
    </row>
    <row r="46" spans="1:6" x14ac:dyDescent="0.2">
      <c r="A46" s="9"/>
      <c r="B46" s="9"/>
      <c r="C46" s="9"/>
      <c r="D46" s="9"/>
      <c r="E46" s="9"/>
      <c r="F46" s="9"/>
    </row>
    <row r="47" spans="1:6" x14ac:dyDescent="0.2">
      <c r="A47" s="8"/>
      <c r="B47" s="8"/>
      <c r="C47" s="8"/>
      <c r="D47" s="8"/>
      <c r="E47" s="8"/>
      <c r="F47" s="8"/>
    </row>
    <row r="48" spans="1:6" x14ac:dyDescent="0.2">
      <c r="A48" s="1" t="s">
        <v>31</v>
      </c>
      <c r="B48" s="1"/>
      <c r="C48" s="33"/>
      <c r="D48" s="1" t="s">
        <v>32</v>
      </c>
      <c r="E48" s="1"/>
      <c r="F48" s="1"/>
    </row>
    <row r="49" spans="1:6" x14ac:dyDescent="0.2">
      <c r="A49" s="8"/>
      <c r="B49" s="8"/>
      <c r="C49" s="8"/>
      <c r="D49" s="8"/>
      <c r="E49" s="8"/>
      <c r="F49" s="8"/>
    </row>
    <row r="50" spans="1:6" x14ac:dyDescent="0.2">
      <c r="A50" s="8"/>
      <c r="B50" s="8"/>
      <c r="C50" s="8"/>
      <c r="D50" s="8"/>
      <c r="E50" s="8"/>
      <c r="F50" s="8"/>
    </row>
    <row r="51" spans="1:6" x14ac:dyDescent="0.2">
      <c r="A51" s="8"/>
      <c r="B51" s="8"/>
      <c r="C51" s="8"/>
      <c r="D51" s="8"/>
      <c r="E51" s="8"/>
      <c r="F51" s="8"/>
    </row>
    <row r="52" spans="1:6" x14ac:dyDescent="0.2">
      <c r="A52" s="8"/>
      <c r="B52" s="8"/>
      <c r="C52" s="8"/>
      <c r="D52" s="8"/>
      <c r="E52" s="8"/>
      <c r="F52" s="8"/>
    </row>
    <row r="53" spans="1:6" x14ac:dyDescent="0.2">
      <c r="A53" s="8"/>
      <c r="B53" s="8"/>
      <c r="C53" s="8"/>
      <c r="D53" s="8"/>
      <c r="E53" s="8"/>
      <c r="F53" s="8"/>
    </row>
  </sheetData>
  <mergeCells count="22">
    <mergeCell ref="A42:F42"/>
    <mergeCell ref="A46:F46"/>
    <mergeCell ref="A48:B48"/>
    <mergeCell ref="D48:F48"/>
    <mergeCell ref="A18:F18"/>
    <mergeCell ref="A19:F19"/>
    <mergeCell ref="A37:D37"/>
    <mergeCell ref="A38:D38"/>
    <mergeCell ref="A39:D39"/>
    <mergeCell ref="A40:F40"/>
    <mergeCell ref="A11:F11"/>
    <mergeCell ref="A12:F12"/>
    <mergeCell ref="A13:F13"/>
    <mergeCell ref="A15:F15"/>
    <mergeCell ref="A16:F16"/>
    <mergeCell ref="A17:F17"/>
    <mergeCell ref="A1:F1"/>
    <mergeCell ref="A2:F2"/>
    <mergeCell ref="A3:F3"/>
    <mergeCell ref="A5:F5"/>
    <mergeCell ref="A6:F6"/>
    <mergeCell ref="A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EEF97-5802-8D4E-B7C5-29EDEF6C6E0E}">
  <dimension ref="A1:H43"/>
  <sheetViews>
    <sheetView tabSelected="1" workbookViewId="0">
      <selection activeCell="Q16" sqref="Q16"/>
    </sheetView>
  </sheetViews>
  <sheetFormatPr baseColWidth="10" defaultColWidth="9" defaultRowHeight="17" x14ac:dyDescent="0.2"/>
  <cols>
    <col min="1" max="1" width="6.1640625" style="7" customWidth="1"/>
    <col min="2" max="2" width="55.5" style="7" customWidth="1"/>
    <col min="3" max="3" width="10" style="7" customWidth="1"/>
    <col min="4" max="4" width="14.1640625" style="7" customWidth="1"/>
    <col min="5" max="5" width="11.83203125" style="7" customWidth="1"/>
    <col min="6" max="7" width="9" style="7"/>
    <col min="8" max="8" width="13" style="7" bestFit="1" customWidth="1"/>
    <col min="9" max="16384" width="9" style="7"/>
  </cols>
  <sheetData>
    <row r="1" spans="1:8" ht="20.25" customHeight="1" x14ac:dyDescent="0.2">
      <c r="A1" s="1" t="s">
        <v>0</v>
      </c>
      <c r="B1" s="1"/>
      <c r="C1" s="1"/>
      <c r="D1" s="1"/>
      <c r="E1" s="1"/>
    </row>
    <row r="2" spans="1:8" ht="20.25" customHeight="1" x14ac:dyDescent="0.2">
      <c r="A2" s="1" t="s">
        <v>1</v>
      </c>
      <c r="B2" s="1"/>
      <c r="C2" s="1"/>
      <c r="D2" s="1"/>
      <c r="E2" s="1"/>
    </row>
    <row r="3" spans="1:8" x14ac:dyDescent="0.2">
      <c r="A3" s="2" t="s">
        <v>2</v>
      </c>
      <c r="B3" s="1"/>
      <c r="C3" s="1"/>
      <c r="D3" s="1"/>
      <c r="E3" s="1"/>
    </row>
    <row r="4" spans="1:8" ht="6.75" customHeight="1" x14ac:dyDescent="0.2">
      <c r="A4" s="3"/>
      <c r="B4" s="4"/>
      <c r="C4" s="4"/>
      <c r="D4" s="4"/>
      <c r="E4" s="4"/>
    </row>
    <row r="5" spans="1:8" ht="25.5" customHeight="1" x14ac:dyDescent="0.2">
      <c r="A5" s="1" t="s">
        <v>33</v>
      </c>
      <c r="B5" s="1"/>
      <c r="C5" s="1"/>
      <c r="D5" s="1"/>
      <c r="E5" s="1"/>
    </row>
    <row r="6" spans="1:8" ht="19.5" customHeight="1" x14ac:dyDescent="0.2">
      <c r="A6" s="34"/>
      <c r="B6" s="34"/>
      <c r="C6" s="34"/>
      <c r="D6" s="34"/>
      <c r="E6" s="34"/>
    </row>
    <row r="7" spans="1:8" ht="7.5" customHeight="1" x14ac:dyDescent="0.2">
      <c r="A7" s="4"/>
      <c r="B7" s="4"/>
      <c r="C7" s="4"/>
      <c r="D7" s="4"/>
      <c r="E7" s="4"/>
    </row>
    <row r="8" spans="1:8" ht="19.5" customHeight="1" x14ac:dyDescent="0.2">
      <c r="A8" s="8" t="str">
        <f>"Hôm nay, ngày "&amp;DAY(H8)&amp;" tháng "&amp;MONTH(H8)&amp;" năm 2026, chúng tôi gồm có:"</f>
        <v>Hôm nay, ngày 26 tháng 1 năm 2026, chúng tôi gồm có:</v>
      </c>
      <c r="B8" s="8"/>
      <c r="C8" s="8"/>
      <c r="D8" s="8"/>
      <c r="E8" s="8"/>
      <c r="H8" s="35">
        <v>46048</v>
      </c>
    </row>
    <row r="9" spans="1:8" ht="12" customHeight="1" x14ac:dyDescent="0.2">
      <c r="A9" s="36"/>
      <c r="B9" s="8"/>
      <c r="C9" s="8"/>
      <c r="D9" s="8"/>
      <c r="E9" s="8"/>
    </row>
    <row r="10" spans="1:8" x14ac:dyDescent="0.2">
      <c r="A10" s="37" t="s">
        <v>34</v>
      </c>
      <c r="B10" s="37"/>
      <c r="C10" s="37"/>
      <c r="D10" s="37"/>
      <c r="E10" s="37"/>
    </row>
    <row r="11" spans="1:8" ht="19.5" customHeight="1" x14ac:dyDescent="0.2">
      <c r="A11" s="8" t="s">
        <v>35</v>
      </c>
      <c r="B11" s="8"/>
      <c r="C11" s="8" t="s">
        <v>36</v>
      </c>
      <c r="D11" s="8" t="s">
        <v>37</v>
      </c>
      <c r="E11" s="8"/>
    </row>
    <row r="12" spans="1:8" x14ac:dyDescent="0.2">
      <c r="A12" s="38" t="s">
        <v>6</v>
      </c>
      <c r="B12" s="38"/>
      <c r="C12" s="38"/>
      <c r="D12" s="38"/>
      <c r="E12" s="38"/>
    </row>
    <row r="13" spans="1:8" x14ac:dyDescent="0.2">
      <c r="A13" s="39" t="s">
        <v>7</v>
      </c>
      <c r="B13" s="39"/>
      <c r="C13" s="39"/>
      <c r="D13" s="39"/>
      <c r="E13" s="39"/>
    </row>
    <row r="14" spans="1:8" ht="11.25" customHeight="1" x14ac:dyDescent="0.2">
      <c r="A14" s="40"/>
      <c r="B14" s="40"/>
      <c r="C14" s="40"/>
      <c r="D14" s="40"/>
      <c r="E14" s="40"/>
    </row>
    <row r="15" spans="1:8" x14ac:dyDescent="0.2">
      <c r="A15" s="37" t="s">
        <v>38</v>
      </c>
      <c r="B15" s="37"/>
      <c r="C15" s="37"/>
      <c r="D15" s="37"/>
      <c r="E15" s="37"/>
    </row>
    <row r="16" spans="1:8" x14ac:dyDescent="0.2">
      <c r="A16" s="11" t="s">
        <v>9</v>
      </c>
      <c r="B16" s="12"/>
      <c r="C16" s="12" t="s">
        <v>10</v>
      </c>
      <c r="D16" s="11" t="s">
        <v>11</v>
      </c>
      <c r="E16" s="41"/>
    </row>
    <row r="17" spans="1:5" x14ac:dyDescent="0.2">
      <c r="A17" s="38" t="s">
        <v>12</v>
      </c>
      <c r="B17" s="38"/>
      <c r="C17" s="38"/>
      <c r="D17" s="38"/>
      <c r="E17" s="38"/>
    </row>
    <row r="18" spans="1:5" x14ac:dyDescent="0.2">
      <c r="A18" s="39" t="s">
        <v>39</v>
      </c>
      <c r="B18" s="39"/>
      <c r="C18" s="39"/>
      <c r="D18" s="39"/>
      <c r="E18" s="39"/>
    </row>
    <row r="19" spans="1:5" ht="3.75" customHeight="1" x14ac:dyDescent="0.2">
      <c r="A19" s="40"/>
      <c r="B19" s="40"/>
      <c r="C19" s="40"/>
      <c r="D19" s="40"/>
      <c r="E19" s="40"/>
    </row>
    <row r="20" spans="1:5" ht="19.5" customHeight="1" x14ac:dyDescent="0.2">
      <c r="A20" s="42" t="s">
        <v>40</v>
      </c>
      <c r="B20" s="42"/>
      <c r="C20" s="42"/>
      <c r="D20" s="42"/>
      <c r="E20" s="42"/>
    </row>
    <row r="21" spans="1:5" ht="11.25" customHeight="1" x14ac:dyDescent="0.2"/>
    <row r="22" spans="1:5" ht="25.5" customHeight="1" x14ac:dyDescent="0.2">
      <c r="A22" s="43" t="s">
        <v>17</v>
      </c>
      <c r="B22" s="43" t="s">
        <v>18</v>
      </c>
      <c r="C22" s="43" t="s">
        <v>19</v>
      </c>
      <c r="D22" s="43" t="s">
        <v>20</v>
      </c>
      <c r="E22" s="43" t="s">
        <v>41</v>
      </c>
    </row>
    <row r="23" spans="1:5" ht="68" x14ac:dyDescent="0.2">
      <c r="A23" s="44">
        <v>1</v>
      </c>
      <c r="B23" s="45" t="s">
        <v>23</v>
      </c>
      <c r="C23" s="44" t="s">
        <v>24</v>
      </c>
      <c r="D23" s="46">
        <v>50</v>
      </c>
      <c r="E23" s="46"/>
    </row>
    <row r="24" spans="1:5" hidden="1" x14ac:dyDescent="0.2">
      <c r="A24" s="44">
        <v>2</v>
      </c>
      <c r="B24" s="45"/>
      <c r="C24" s="44"/>
      <c r="D24" s="46"/>
      <c r="E24" s="46"/>
    </row>
    <row r="25" spans="1:5" hidden="1" x14ac:dyDescent="0.2">
      <c r="A25" s="44">
        <v>3</v>
      </c>
      <c r="B25" s="45"/>
      <c r="C25" s="47"/>
      <c r="D25" s="46"/>
      <c r="E25" s="46"/>
    </row>
    <row r="26" spans="1:5" hidden="1" x14ac:dyDescent="0.2">
      <c r="A26" s="44">
        <v>4</v>
      </c>
      <c r="B26" s="45"/>
      <c r="C26" s="47"/>
      <c r="D26" s="46"/>
      <c r="E26" s="46"/>
    </row>
    <row r="27" spans="1:5" hidden="1" x14ac:dyDescent="0.2">
      <c r="A27" s="44">
        <v>5</v>
      </c>
      <c r="B27" s="45"/>
      <c r="C27" s="47"/>
      <c r="D27" s="46"/>
      <c r="E27" s="46"/>
    </row>
    <row r="28" spans="1:5" hidden="1" x14ac:dyDescent="0.2">
      <c r="A28" s="44">
        <v>6</v>
      </c>
      <c r="B28" s="45"/>
      <c r="C28" s="47"/>
      <c r="D28" s="46"/>
      <c r="E28" s="46"/>
    </row>
    <row r="29" spans="1:5" hidden="1" x14ac:dyDescent="0.2">
      <c r="A29" s="44">
        <v>7</v>
      </c>
      <c r="B29" s="45"/>
      <c r="C29" s="47"/>
      <c r="D29" s="46"/>
      <c r="E29" s="46"/>
    </row>
    <row r="30" spans="1:5" hidden="1" x14ac:dyDescent="0.2">
      <c r="A30" s="44">
        <v>8</v>
      </c>
      <c r="B30" s="45"/>
      <c r="C30" s="47"/>
      <c r="D30" s="46"/>
      <c r="E30" s="46"/>
    </row>
    <row r="31" spans="1:5" hidden="1" x14ac:dyDescent="0.2">
      <c r="A31" s="44">
        <v>9</v>
      </c>
      <c r="B31" s="45"/>
      <c r="C31" s="47"/>
      <c r="D31" s="46"/>
      <c r="E31" s="46"/>
    </row>
    <row r="32" spans="1:5" hidden="1" x14ac:dyDescent="0.2">
      <c r="A32" s="44">
        <v>10</v>
      </c>
      <c r="B32" s="45"/>
      <c r="C32" s="47"/>
      <c r="D32" s="46"/>
      <c r="E32" s="46"/>
    </row>
    <row r="33" spans="1:5" hidden="1" x14ac:dyDescent="0.2">
      <c r="A33" s="44">
        <v>11</v>
      </c>
      <c r="B33" s="45"/>
      <c r="C33" s="47"/>
      <c r="D33" s="46"/>
      <c r="E33" s="46"/>
    </row>
    <row r="34" spans="1:5" hidden="1" x14ac:dyDescent="0.2">
      <c r="A34" s="44">
        <v>12</v>
      </c>
      <c r="B34" s="45"/>
      <c r="C34" s="47"/>
      <c r="D34" s="46"/>
      <c r="E34" s="46"/>
    </row>
    <row r="35" spans="1:5" hidden="1" x14ac:dyDescent="0.2">
      <c r="A35" s="44">
        <v>13</v>
      </c>
      <c r="B35" s="45"/>
      <c r="C35" s="47"/>
      <c r="D35" s="46"/>
      <c r="E35" s="46"/>
    </row>
    <row r="36" spans="1:5" hidden="1" x14ac:dyDescent="0.2">
      <c r="A36" s="44">
        <v>14</v>
      </c>
      <c r="B36" s="45"/>
      <c r="C36" s="47"/>
      <c r="D36" s="46"/>
      <c r="E36" s="46"/>
    </row>
    <row r="37" spans="1:5" hidden="1" x14ac:dyDescent="0.2">
      <c r="A37" s="44">
        <v>15</v>
      </c>
      <c r="B37" s="45"/>
      <c r="C37" s="47"/>
      <c r="D37" s="46"/>
      <c r="E37" s="46"/>
    </row>
    <row r="38" spans="1:5" hidden="1" x14ac:dyDescent="0.2">
      <c r="A38" s="44">
        <v>16</v>
      </c>
      <c r="B38" s="45"/>
      <c r="C38" s="47"/>
      <c r="D38" s="46"/>
      <c r="E38" s="46"/>
    </row>
    <row r="39" spans="1:5" hidden="1" x14ac:dyDescent="0.2">
      <c r="A39" s="44">
        <v>17</v>
      </c>
      <c r="B39" s="45"/>
      <c r="C39" s="47"/>
      <c r="D39" s="46"/>
      <c r="E39" s="46"/>
    </row>
    <row r="40" spans="1:5" ht="45.75" customHeight="1" x14ac:dyDescent="0.2">
      <c r="A40" s="48" t="s">
        <v>42</v>
      </c>
      <c r="B40" s="48"/>
      <c r="C40" s="48"/>
      <c r="D40" s="48"/>
      <c r="E40" s="48"/>
    </row>
    <row r="41" spans="1:5" x14ac:dyDescent="0.2">
      <c r="A41" s="49" t="s">
        <v>43</v>
      </c>
      <c r="B41" s="8"/>
      <c r="C41" s="8"/>
      <c r="D41" s="8"/>
      <c r="E41" s="8"/>
    </row>
    <row r="43" spans="1:5" ht="23.25" customHeight="1" x14ac:dyDescent="0.2">
      <c r="A43" s="50" t="s">
        <v>44</v>
      </c>
      <c r="B43" s="50"/>
      <c r="C43" s="51"/>
      <c r="D43" s="50" t="s">
        <v>45</v>
      </c>
      <c r="E43" s="50"/>
    </row>
  </sheetData>
  <mergeCells count="15">
    <mergeCell ref="A40:E40"/>
    <mergeCell ref="A43:B43"/>
    <mergeCell ref="D43:E43"/>
    <mergeCell ref="A12:E12"/>
    <mergeCell ref="A13:E13"/>
    <mergeCell ref="A15:E15"/>
    <mergeCell ref="A17:E17"/>
    <mergeCell ref="A18:E18"/>
    <mergeCell ref="A20:E20"/>
    <mergeCell ref="A1:E1"/>
    <mergeCell ref="A2:E2"/>
    <mergeCell ref="A3:E3"/>
    <mergeCell ref="A5:E5"/>
    <mergeCell ref="A6:E6"/>
    <mergeCell ref="A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Đơn ĐH </vt:lpstr>
      <vt:lpstr>BBGN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Hien La Thi Thu</dc:creator>
  <cp:lastModifiedBy>Hien La Thi Thu</cp:lastModifiedBy>
  <dcterms:created xsi:type="dcterms:W3CDTF">2026-10-20T09:38:27Z</dcterms:created>
  <dcterms:modified xsi:type="dcterms:W3CDTF">2026-10-20T09:41:28Z</dcterms:modified>
</cp:coreProperties>
</file>